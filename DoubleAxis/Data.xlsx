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ful Scripts\Graph Gallery\DoubleAxis\"/>
    </mc:Choice>
  </mc:AlternateContent>
  <xr:revisionPtr revIDLastSave="0" documentId="13_ncr:1_{ECD54645-2765-4423-AD28-D5072A0FCD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mp" sheetId="1" r:id="rId1"/>
    <sheet name="p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E10" i="2" s="1"/>
  <c r="D11" i="2"/>
  <c r="D12" i="2"/>
  <c r="D13" i="2"/>
  <c r="D14" i="2"/>
  <c r="D15" i="2"/>
  <c r="D16" i="2"/>
  <c r="D17" i="2"/>
  <c r="D18" i="2"/>
  <c r="E18" i="2" s="1"/>
  <c r="D19" i="2"/>
  <c r="D20" i="2"/>
  <c r="D21" i="2"/>
  <c r="D22" i="2"/>
  <c r="D23" i="2"/>
  <c r="D24" i="2"/>
  <c r="D25" i="2"/>
  <c r="D26" i="2"/>
  <c r="E26" i="2" s="1"/>
  <c r="D27" i="2"/>
  <c r="E27" i="2" s="1"/>
  <c r="D28" i="2"/>
  <c r="D29" i="2"/>
  <c r="D30" i="2"/>
  <c r="D31" i="2"/>
  <c r="D32" i="2"/>
  <c r="D33" i="2"/>
  <c r="D34" i="2"/>
  <c r="E34" i="2" s="1"/>
  <c r="D35" i="2"/>
  <c r="D36" i="2"/>
  <c r="D37" i="2"/>
  <c r="D38" i="2"/>
  <c r="D39" i="2"/>
  <c r="D40" i="2"/>
  <c r="D41" i="2"/>
  <c r="D42" i="2"/>
  <c r="E42" i="2" s="1"/>
  <c r="D43" i="2"/>
  <c r="D44" i="2"/>
  <c r="D45" i="2"/>
  <c r="D46" i="2"/>
  <c r="D47" i="2"/>
  <c r="D48" i="2"/>
  <c r="D49" i="2"/>
  <c r="D50" i="2"/>
  <c r="E50" i="2" s="1"/>
  <c r="D51" i="2"/>
  <c r="D52" i="2"/>
  <c r="D2" i="2"/>
  <c r="E2" i="2" s="1"/>
  <c r="E8" i="2"/>
  <c r="E11" i="2"/>
  <c r="E15" i="2"/>
  <c r="E16" i="2"/>
  <c r="E24" i="2"/>
  <c r="E28" i="2"/>
  <c r="E31" i="2"/>
  <c r="E32" i="2"/>
  <c r="E40" i="2"/>
  <c r="E43" i="2"/>
  <c r="E47" i="2"/>
  <c r="E48" i="2"/>
  <c r="E3" i="2"/>
  <c r="E4" i="2"/>
  <c r="E5" i="2"/>
  <c r="E6" i="2"/>
  <c r="E7" i="2"/>
  <c r="E9" i="2"/>
  <c r="E12" i="2"/>
  <c r="E13" i="2"/>
  <c r="E14" i="2"/>
  <c r="E17" i="2"/>
  <c r="E19" i="2"/>
  <c r="E20" i="2"/>
  <c r="E21" i="2"/>
  <c r="E22" i="2"/>
  <c r="E23" i="2"/>
  <c r="E25" i="2"/>
  <c r="E29" i="2"/>
  <c r="E30" i="2"/>
  <c r="E33" i="2"/>
  <c r="E35" i="2"/>
  <c r="E36" i="2"/>
  <c r="E37" i="2"/>
  <c r="E38" i="2"/>
  <c r="E39" i="2"/>
  <c r="E41" i="2"/>
  <c r="E44" i="2"/>
  <c r="E45" i="2"/>
  <c r="E46" i="2"/>
  <c r="E49" i="2"/>
  <c r="E51" i="2"/>
  <c r="E52" i="2"/>
  <c r="B32" i="1"/>
  <c r="C32" i="1"/>
  <c r="D32" i="1" s="1"/>
  <c r="B33" i="1"/>
  <c r="C33" i="1"/>
  <c r="D33" i="1"/>
  <c r="B34" i="1"/>
  <c r="C34" i="1"/>
  <c r="D34" i="1"/>
  <c r="B35" i="1"/>
  <c r="C35" i="1"/>
  <c r="D35" i="1" s="1"/>
  <c r="B36" i="1"/>
  <c r="C36" i="1"/>
  <c r="D36" i="1" s="1"/>
  <c r="B37" i="1"/>
  <c r="C37" i="1"/>
  <c r="D37" i="1"/>
  <c r="B38" i="1"/>
  <c r="C38" i="1"/>
  <c r="D38" i="1"/>
  <c r="B39" i="1"/>
  <c r="D39" i="1" s="1"/>
  <c r="C39" i="1"/>
  <c r="B40" i="1"/>
  <c r="C40" i="1"/>
  <c r="D40" i="1" s="1"/>
  <c r="B41" i="1"/>
  <c r="C41" i="1"/>
  <c r="D41" i="1"/>
  <c r="B42" i="1"/>
  <c r="C42" i="1"/>
  <c r="D42" i="1"/>
  <c r="B43" i="1"/>
  <c r="C43" i="1"/>
  <c r="D43" i="1" s="1"/>
  <c r="B44" i="1"/>
  <c r="C44" i="1"/>
  <c r="D44" i="1" s="1"/>
  <c r="B45" i="1"/>
  <c r="C45" i="1"/>
  <c r="D45" i="1"/>
  <c r="B46" i="1"/>
  <c r="C46" i="1"/>
  <c r="D46" i="1"/>
  <c r="B47" i="1"/>
  <c r="D47" i="1" s="1"/>
  <c r="C47" i="1"/>
  <c r="B48" i="1"/>
  <c r="C48" i="1"/>
  <c r="D48" i="1" s="1"/>
  <c r="B49" i="1"/>
  <c r="C49" i="1"/>
  <c r="D49" i="1"/>
  <c r="B50" i="1"/>
  <c r="C50" i="1"/>
  <c r="D50" i="1"/>
  <c r="B51" i="1"/>
  <c r="D51" i="1" s="1"/>
  <c r="C51" i="1"/>
  <c r="B52" i="1"/>
  <c r="C52" i="1"/>
  <c r="D52" i="1" s="1"/>
  <c r="B53" i="1"/>
  <c r="C53" i="1"/>
  <c r="D53" i="1"/>
  <c r="B54" i="1"/>
  <c r="C54" i="1"/>
  <c r="D54" i="1"/>
  <c r="B55" i="1"/>
  <c r="D55" i="1" s="1"/>
  <c r="C55" i="1"/>
  <c r="B56" i="1"/>
  <c r="C56" i="1"/>
  <c r="D56" i="1" s="1"/>
  <c r="B57" i="1"/>
  <c r="C57" i="1"/>
  <c r="D57" i="1"/>
  <c r="B58" i="1"/>
  <c r="C58" i="1"/>
  <c r="D58" i="1"/>
  <c r="B59" i="1"/>
  <c r="D59" i="1" s="1"/>
  <c r="C59" i="1"/>
  <c r="B60" i="1"/>
  <c r="C60" i="1"/>
  <c r="D60" i="1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2" i="2"/>
  <c r="D5" i="1"/>
  <c r="D13" i="1"/>
  <c r="D21" i="1"/>
  <c r="D29" i="1"/>
  <c r="D2" i="1"/>
  <c r="C3" i="1"/>
  <c r="D3" i="1" s="1"/>
  <c r="C4" i="1"/>
  <c r="D4" i="1" s="1"/>
  <c r="C5" i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C30" i="1"/>
  <c r="D30" i="1" s="1"/>
  <c r="C31" i="1"/>
  <c r="D31" i="1" s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<sst xmlns="http://schemas.openxmlformats.org/spreadsheetml/2006/main" count="8" uniqueCount="8">
  <si>
    <t>Temperature</t>
  </si>
  <si>
    <t>Lorentzian</t>
  </si>
  <si>
    <t>Logistics</t>
  </si>
  <si>
    <t>Sum</t>
  </si>
  <si>
    <t>log10 doping</t>
  </si>
  <si>
    <t>doping</t>
  </si>
  <si>
    <t>built in energy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</si>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</sst>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Temp!$A$2:$A$60</c:f>
              <c:numCache>
                <c:formatCode>General</c:formatCode>
                <c:ptCount val="5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</c:numCache>
            </c:numRef>
          </c:xVal>
          <c:yVal>
            <c:numRef>
              <c:f>Temp!$B$2:$B$60</c:f>
              <c:numCache>
                <c:formatCode>General</c:formatCode>
                <c:ptCount val="59"/>
                <c:pt idx="0">
                  <c:v>5.0761421319796957E-4</c:v>
                </c:pt>
                <c:pt idx="1">
                  <c:v>5.4570259208731246E-4</c:v>
                </c:pt>
                <c:pt idx="2">
                  <c:v>5.8823529411764701E-4</c:v>
                </c:pt>
                <c:pt idx="3">
                  <c:v>6.3593004769475357E-4</c:v>
                </c:pt>
                <c:pt idx="4">
                  <c:v>6.8965517241379305E-4</c:v>
                </c:pt>
                <c:pt idx="5">
                  <c:v>7.5046904315196998E-4</c:v>
                </c:pt>
                <c:pt idx="6">
                  <c:v>8.1967213114754098E-4</c:v>
                </c:pt>
                <c:pt idx="7">
                  <c:v>8.9887640449438206E-4</c:v>
                </c:pt>
                <c:pt idx="8">
                  <c:v>9.9009900990099011E-4</c:v>
                </c:pt>
                <c:pt idx="9">
                  <c:v>1.095890410958904E-3</c:v>
                </c:pt>
                <c:pt idx="10">
                  <c:v>1.2195121951219512E-3</c:v>
                </c:pt>
                <c:pt idx="11">
                  <c:v>1.3651877133105802E-3</c:v>
                </c:pt>
                <c:pt idx="12">
                  <c:v>1.5384615384615385E-3</c:v>
                </c:pt>
                <c:pt idx="13">
                  <c:v>1.7467248908296944E-3</c:v>
                </c:pt>
                <c:pt idx="14">
                  <c:v>2E-3</c:v>
                </c:pt>
                <c:pt idx="15">
                  <c:v>2.3121387283236996E-3</c:v>
                </c:pt>
                <c:pt idx="16">
                  <c:v>2.7027027027027029E-3</c:v>
                </c:pt>
                <c:pt idx="17">
                  <c:v>3.2000000000000002E-3</c:v>
                </c:pt>
                <c:pt idx="18">
                  <c:v>3.8461538461538464E-3</c:v>
                </c:pt>
                <c:pt idx="19">
                  <c:v>4.7058823529411761E-3</c:v>
                </c:pt>
                <c:pt idx="20">
                  <c:v>5.8823529411764705E-3</c:v>
                </c:pt>
                <c:pt idx="21">
                  <c:v>7.5471698113207548E-3</c:v>
                </c:pt>
                <c:pt idx="22">
                  <c:v>0.01</c:v>
                </c:pt>
                <c:pt idx="23">
                  <c:v>1.3793103448275862E-2</c:v>
                </c:pt>
                <c:pt idx="24">
                  <c:v>0.02</c:v>
                </c:pt>
                <c:pt idx="25">
                  <c:v>3.0769230769230771E-2</c:v>
                </c:pt>
                <c:pt idx="26">
                  <c:v>0.05</c:v>
                </c:pt>
                <c:pt idx="27">
                  <c:v>0.08</c:v>
                </c:pt>
                <c:pt idx="28">
                  <c:v>0.1</c:v>
                </c:pt>
                <c:pt idx="29">
                  <c:v>0.08</c:v>
                </c:pt>
                <c:pt idx="30">
                  <c:v>0.05</c:v>
                </c:pt>
                <c:pt idx="31">
                  <c:v>3.0769230769230771E-2</c:v>
                </c:pt>
                <c:pt idx="32">
                  <c:v>0.02</c:v>
                </c:pt>
                <c:pt idx="33">
                  <c:v>1.3793103448275862E-2</c:v>
                </c:pt>
                <c:pt idx="34">
                  <c:v>0.01</c:v>
                </c:pt>
                <c:pt idx="35">
                  <c:v>7.5471698113207548E-3</c:v>
                </c:pt>
                <c:pt idx="36">
                  <c:v>5.8823529411764705E-3</c:v>
                </c:pt>
                <c:pt idx="37">
                  <c:v>4.7058823529411761E-3</c:v>
                </c:pt>
                <c:pt idx="38">
                  <c:v>3.8461538461538464E-3</c:v>
                </c:pt>
                <c:pt idx="39">
                  <c:v>3.2000000000000002E-3</c:v>
                </c:pt>
                <c:pt idx="40">
                  <c:v>2.7027027027027029E-3</c:v>
                </c:pt>
                <c:pt idx="41">
                  <c:v>2.3121387283236996E-3</c:v>
                </c:pt>
                <c:pt idx="42">
                  <c:v>2E-3</c:v>
                </c:pt>
                <c:pt idx="43">
                  <c:v>1.7467248908296944E-3</c:v>
                </c:pt>
                <c:pt idx="44">
                  <c:v>1.5384615384615385E-3</c:v>
                </c:pt>
                <c:pt idx="45">
                  <c:v>1.3651877133105802E-3</c:v>
                </c:pt>
                <c:pt idx="46">
                  <c:v>1.2195121951219512E-3</c:v>
                </c:pt>
                <c:pt idx="47">
                  <c:v>1.095890410958904E-3</c:v>
                </c:pt>
                <c:pt idx="48">
                  <c:v>9.9009900990099011E-4</c:v>
                </c:pt>
                <c:pt idx="49">
                  <c:v>8.9887640449438206E-4</c:v>
                </c:pt>
                <c:pt idx="50">
                  <c:v>8.1967213114754098E-4</c:v>
                </c:pt>
                <c:pt idx="51">
                  <c:v>7.5046904315196998E-4</c:v>
                </c:pt>
                <c:pt idx="52">
                  <c:v>6.8965517241379305E-4</c:v>
                </c:pt>
                <c:pt idx="53">
                  <c:v>6.3593004769475357E-4</c:v>
                </c:pt>
                <c:pt idx="54">
                  <c:v>5.8823529411764701E-4</c:v>
                </c:pt>
                <c:pt idx="55">
                  <c:v>5.4570259208731246E-4</c:v>
                </c:pt>
                <c:pt idx="56">
                  <c:v>5.0761421319796957E-4</c:v>
                </c:pt>
                <c:pt idx="57">
                  <c:v>4.7337278106508875E-4</c:v>
                </c:pt>
                <c:pt idx="58">
                  <c:v>4.4247787610619468E-4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70-45B4-BAEB-330E7B48B9C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Temp!$A$2:$A$60</c:f>
              <c:numCache>
                <c:formatCode>General</c:formatCode>
                <c:ptCount val="5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</c:numCache>
            </c:numRef>
          </c:xVal>
          <c:yVal>
            <c:numRef>
              <c:f>Temp!$C$2:$C$60</c:f>
              <c:numCache>
                <c:formatCode>General</c:formatCode>
                <c:ptCount val="59"/>
                <c:pt idx="0">
                  <c:v>1.7683834003778819E-6</c:v>
                </c:pt>
                <c:pt idx="1">
                  <c:v>2.4678915197262621E-6</c:v>
                </c:pt>
                <c:pt idx="2">
                  <c:v>3.4440519423784011E-6</c:v>
                </c:pt>
                <c:pt idx="3">
                  <c:v>4.8062342563781617E-6</c:v>
                </c:pt>
                <c:pt idx="4">
                  <c:v>6.7070026093274392E-6</c:v>
                </c:pt>
                <c:pt idx="5">
                  <c:v>9.3591345126564638E-6</c:v>
                </c:pt>
                <c:pt idx="6">
                  <c:v>1.3059306751055378E-5</c:v>
                </c:pt>
                <c:pt idx="7">
                  <c:v>1.8221023888012056E-5</c:v>
                </c:pt>
                <c:pt idx="8">
                  <c:v>2.5420325261626966E-5</c:v>
                </c:pt>
                <c:pt idx="9">
                  <c:v>3.5459091895844172E-5</c:v>
                </c:pt>
                <c:pt idx="10">
                  <c:v>4.9452463132693139E-5</c:v>
                </c:pt>
                <c:pt idx="11">
                  <c:v>6.8949026031273064E-5</c:v>
                </c:pt>
                <c:pt idx="12">
                  <c:v>9.6095057743190716E-5</c:v>
                </c:pt>
                <c:pt idx="13">
                  <c:v>1.3385701848569464E-4</c:v>
                </c:pt>
                <c:pt idx="14">
                  <c:v>1.8631918690133366E-4</c:v>
                </c:pt>
                <c:pt idx="15">
                  <c:v>2.5907455061391805E-4</c:v>
                </c:pt>
                <c:pt idx="16">
                  <c:v>3.5972419924183095E-4</c:v>
                </c:pt>
                <c:pt idx="17">
                  <c:v>4.9848853294228053E-4</c:v>
                </c:pt>
                <c:pt idx="18">
                  <c:v>6.8890391332422142E-4</c:v>
                </c:pt>
                <c:pt idx="19">
                  <c:v>9.4851746355133269E-4</c:v>
                </c:pt>
                <c:pt idx="20">
                  <c:v>1.2993833825732804E-3</c:v>
                </c:pt>
                <c:pt idx="21">
                  <c:v>1.7679935441411666E-3</c:v>
                </c:pt>
                <c:pt idx="22">
                  <c:v>2.3840584404423537E-3</c:v>
                </c:pt>
                <c:pt idx="23">
                  <c:v>3.1773820976183022E-3</c:v>
                </c:pt>
                <c:pt idx="24">
                  <c:v>4.1721705465208991E-3</c:v>
                </c:pt>
                <c:pt idx="25">
                  <c:v>5.3788284273999024E-3</c:v>
                </c:pt>
                <c:pt idx="26">
                  <c:v>6.7848726246836554E-3</c:v>
                </c:pt>
                <c:pt idx="27">
                  <c:v>8.3485958707537056E-3</c:v>
                </c:pt>
                <c:pt idx="28">
                  <c:v>0.01</c:v>
                </c:pt>
                <c:pt idx="29">
                  <c:v>1.1651404129246295E-2</c:v>
                </c:pt>
                <c:pt idx="30">
                  <c:v>1.3215127375316342E-2</c:v>
                </c:pt>
                <c:pt idx="31">
                  <c:v>1.4621171572600098E-2</c:v>
                </c:pt>
                <c:pt idx="32">
                  <c:v>1.58278294534791E-2</c:v>
                </c:pt>
                <c:pt idx="33">
                  <c:v>1.6822617902381695E-2</c:v>
                </c:pt>
                <c:pt idx="34">
                  <c:v>1.761594155955765E-2</c:v>
                </c:pt>
                <c:pt idx="35">
                  <c:v>1.8232006455858832E-2</c:v>
                </c:pt>
                <c:pt idx="36">
                  <c:v>1.8700616617426721E-2</c:v>
                </c:pt>
                <c:pt idx="37">
                  <c:v>1.9051482536448665E-2</c:v>
                </c:pt>
                <c:pt idx="38">
                  <c:v>1.9311096086675777E-2</c:v>
                </c:pt>
                <c:pt idx="39">
                  <c:v>1.9501511467057722E-2</c:v>
                </c:pt>
                <c:pt idx="40">
                  <c:v>1.964027580075817E-2</c:v>
                </c:pt>
                <c:pt idx="41">
                  <c:v>1.9740925449386083E-2</c:v>
                </c:pt>
                <c:pt idx="42">
                  <c:v>1.9813680813098668E-2</c:v>
                </c:pt>
                <c:pt idx="43">
                  <c:v>1.9866142981514304E-2</c:v>
                </c:pt>
                <c:pt idx="44">
                  <c:v>1.9903904942256811E-2</c:v>
                </c:pt>
                <c:pt idx="45">
                  <c:v>1.9931050973968731E-2</c:v>
                </c:pt>
                <c:pt idx="46">
                  <c:v>1.9950547536867307E-2</c:v>
                </c:pt>
                <c:pt idx="47">
                  <c:v>1.9964540908104157E-2</c:v>
                </c:pt>
                <c:pt idx="48">
                  <c:v>1.9974579674738372E-2</c:v>
                </c:pt>
                <c:pt idx="49">
                  <c:v>1.9981778976111988E-2</c:v>
                </c:pt>
                <c:pt idx="50">
                  <c:v>1.9986940693248946E-2</c:v>
                </c:pt>
                <c:pt idx="51">
                  <c:v>1.9990640865487342E-2</c:v>
                </c:pt>
                <c:pt idx="52">
                  <c:v>1.9993292997390669E-2</c:v>
                </c:pt>
                <c:pt idx="53">
                  <c:v>1.9995193765743623E-2</c:v>
                </c:pt>
                <c:pt idx="54">
                  <c:v>1.9996555948057621E-2</c:v>
                </c:pt>
                <c:pt idx="55">
                  <c:v>1.9997532108480275E-2</c:v>
                </c:pt>
                <c:pt idx="56">
                  <c:v>1.9998231616599624E-2</c:v>
                </c:pt>
                <c:pt idx="57">
                  <c:v>1.9998732866165003E-2</c:v>
                </c:pt>
                <c:pt idx="58">
                  <c:v>1.9999092042625951E-2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70-45B4-BAEB-330E7B48B9C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Temp!$A$2:$A$60</c:f>
              <c:numCache>
                <c:formatCode>General</c:formatCode>
                <c:ptCount val="5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</c:numCache>
            </c:numRef>
          </c:xVal>
          <c:yVal>
            <c:numRef>
              <c:f>Temp!$D$2:$D$60</c:f>
              <c:numCache>
                <c:formatCode>General</c:formatCode>
                <c:ptCount val="59"/>
                <c:pt idx="0">
                  <c:v>5.093825965983475E-4</c:v>
                </c:pt>
                <c:pt idx="1">
                  <c:v>5.481704836070387E-4</c:v>
                </c:pt>
                <c:pt idx="2">
                  <c:v>5.9167934606002537E-4</c:v>
                </c:pt>
                <c:pt idx="3">
                  <c:v>6.4073628195113175E-4</c:v>
                </c:pt>
                <c:pt idx="4">
                  <c:v>6.9636217502312052E-4</c:v>
                </c:pt>
                <c:pt idx="5">
                  <c:v>7.5982817766462644E-4</c:v>
                </c:pt>
                <c:pt idx="6">
                  <c:v>8.3273143789859636E-4</c:v>
                </c:pt>
                <c:pt idx="7">
                  <c:v>9.1709742838239408E-4</c:v>
                </c:pt>
                <c:pt idx="8">
                  <c:v>1.0155193351626172E-3</c:v>
                </c:pt>
                <c:pt idx="9">
                  <c:v>1.1313495028547481E-3</c:v>
                </c:pt>
                <c:pt idx="10">
                  <c:v>1.2689646582546444E-3</c:v>
                </c:pt>
                <c:pt idx="11">
                  <c:v>1.4341367393418533E-3</c:v>
                </c:pt>
                <c:pt idx="12">
                  <c:v>1.6345565962047291E-3</c:v>
                </c:pt>
                <c:pt idx="13">
                  <c:v>1.8805819093153889E-3</c:v>
                </c:pt>
                <c:pt idx="14">
                  <c:v>2.1863191869013338E-3</c:v>
                </c:pt>
                <c:pt idx="15">
                  <c:v>2.5712132789376175E-3</c:v>
                </c:pt>
                <c:pt idx="16">
                  <c:v>3.0624269019445339E-3</c:v>
                </c:pt>
                <c:pt idx="17">
                  <c:v>3.6984885329422808E-3</c:v>
                </c:pt>
                <c:pt idx="18">
                  <c:v>4.5350577594780676E-3</c:v>
                </c:pt>
                <c:pt idx="19">
                  <c:v>5.6543998164925091E-3</c:v>
                </c:pt>
                <c:pt idx="20">
                  <c:v>7.1817363237497512E-3</c:v>
                </c:pt>
                <c:pt idx="21">
                  <c:v>9.3151633554619216E-3</c:v>
                </c:pt>
                <c:pt idx="22">
                  <c:v>1.2384058440442354E-2</c:v>
                </c:pt>
                <c:pt idx="23">
                  <c:v>1.6970485545894164E-2</c:v>
                </c:pt>
                <c:pt idx="24">
                  <c:v>2.4172170546520898E-2</c:v>
                </c:pt>
                <c:pt idx="25">
                  <c:v>3.6148059196630673E-2</c:v>
                </c:pt>
                <c:pt idx="26">
                  <c:v>5.6784872624683659E-2</c:v>
                </c:pt>
                <c:pt idx="27">
                  <c:v>8.8348595870753707E-2</c:v>
                </c:pt>
                <c:pt idx="28">
                  <c:v>0.11</c:v>
                </c:pt>
                <c:pt idx="29">
                  <c:v>9.16514041292463E-2</c:v>
                </c:pt>
                <c:pt idx="30">
                  <c:v>6.3215127375316343E-2</c:v>
                </c:pt>
                <c:pt idx="31">
                  <c:v>4.5390402341830866E-2</c:v>
                </c:pt>
                <c:pt idx="32">
                  <c:v>3.58278294534791E-2</c:v>
                </c:pt>
                <c:pt idx="33">
                  <c:v>3.0615721350657557E-2</c:v>
                </c:pt>
                <c:pt idx="34">
                  <c:v>2.7615941559557648E-2</c:v>
                </c:pt>
                <c:pt idx="35">
                  <c:v>2.5779176267179585E-2</c:v>
                </c:pt>
                <c:pt idx="36">
                  <c:v>2.4582969558603191E-2</c:v>
                </c:pt>
                <c:pt idx="37">
                  <c:v>2.3757364889389843E-2</c:v>
                </c:pt>
                <c:pt idx="38">
                  <c:v>2.3157249932829624E-2</c:v>
                </c:pt>
                <c:pt idx="39">
                  <c:v>2.2701511467057723E-2</c:v>
                </c:pt>
                <c:pt idx="40">
                  <c:v>2.2342978503460873E-2</c:v>
                </c:pt>
                <c:pt idx="41">
                  <c:v>2.2053064177709782E-2</c:v>
                </c:pt>
                <c:pt idx="42">
                  <c:v>2.1813680813098667E-2</c:v>
                </c:pt>
                <c:pt idx="43">
                  <c:v>2.1612867872343997E-2</c:v>
                </c:pt>
                <c:pt idx="44">
                  <c:v>2.1442366480718348E-2</c:v>
                </c:pt>
                <c:pt idx="45">
                  <c:v>2.1296238687279312E-2</c:v>
                </c:pt>
                <c:pt idx="46">
                  <c:v>2.1170059731989259E-2</c:v>
                </c:pt>
                <c:pt idx="47">
                  <c:v>2.1060431319063062E-2</c:v>
                </c:pt>
                <c:pt idx="48">
                  <c:v>2.0964678684639363E-2</c:v>
                </c:pt>
                <c:pt idx="49">
                  <c:v>2.0880655380606371E-2</c:v>
                </c:pt>
                <c:pt idx="50">
                  <c:v>2.0806612824396487E-2</c:v>
                </c:pt>
                <c:pt idx="51">
                  <c:v>2.074110990863931E-2</c:v>
                </c:pt>
                <c:pt idx="52">
                  <c:v>2.0682948169804462E-2</c:v>
                </c:pt>
                <c:pt idx="53">
                  <c:v>2.0631123813438377E-2</c:v>
                </c:pt>
                <c:pt idx="54">
                  <c:v>2.0584791242175268E-2</c:v>
                </c:pt>
                <c:pt idx="55">
                  <c:v>2.0543234700567587E-2</c:v>
                </c:pt>
                <c:pt idx="56">
                  <c:v>2.0505845829797593E-2</c:v>
                </c:pt>
                <c:pt idx="57">
                  <c:v>2.047210564723009E-2</c:v>
                </c:pt>
                <c:pt idx="58">
                  <c:v>2.0441569918732146E-2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70-45B4-BAEB-330E7B48B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633359"/>
        <c:axId val="1948294991"/>
      </c:scatterChart>
      <c:valAx>
        <c:axId val="54463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94991"/>
        <c:crosses val="autoZero"/>
        <c:crossBetween val="midCat"/>
      </c:valAx>
      <c:valAx>
        <c:axId val="19482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3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pn!$E$1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pn!$A$2:$A$52</c:f>
              <c:numCache>
                <c:formatCode>General</c:formatCode>
                <c:ptCount val="51"/>
                <c:pt idx="0">
                  <c:v>14</c:v>
                </c:pt>
                <c:pt idx="1">
                  <c:v>14.1</c:v>
                </c:pt>
                <c:pt idx="2">
                  <c:v>14.2</c:v>
                </c:pt>
                <c:pt idx="3">
                  <c:v>14.3</c:v>
                </c:pt>
                <c:pt idx="4">
                  <c:v>14.4</c:v>
                </c:pt>
                <c:pt idx="5">
                  <c:v>14.5</c:v>
                </c:pt>
                <c:pt idx="6">
                  <c:v>14.6</c:v>
                </c:pt>
                <c:pt idx="7">
                  <c:v>14.7</c:v>
                </c:pt>
                <c:pt idx="8">
                  <c:v>14.8</c:v>
                </c:pt>
                <c:pt idx="9">
                  <c:v>14.9</c:v>
                </c:pt>
                <c:pt idx="10">
                  <c:v>15</c:v>
                </c:pt>
                <c:pt idx="11">
                  <c:v>15.1</c:v>
                </c:pt>
                <c:pt idx="12">
                  <c:v>15.2</c:v>
                </c:pt>
                <c:pt idx="13">
                  <c:v>15.3</c:v>
                </c:pt>
                <c:pt idx="14">
                  <c:v>15.4</c:v>
                </c:pt>
                <c:pt idx="15">
                  <c:v>15.5</c:v>
                </c:pt>
                <c:pt idx="16">
                  <c:v>15.6</c:v>
                </c:pt>
                <c:pt idx="17">
                  <c:v>15.7</c:v>
                </c:pt>
                <c:pt idx="18">
                  <c:v>15.8</c:v>
                </c:pt>
                <c:pt idx="19">
                  <c:v>15.9</c:v>
                </c:pt>
                <c:pt idx="20">
                  <c:v>16</c:v>
                </c:pt>
                <c:pt idx="21">
                  <c:v>16.100000000000001</c:v>
                </c:pt>
                <c:pt idx="22">
                  <c:v>16.2</c:v>
                </c:pt>
                <c:pt idx="23">
                  <c:v>16.3</c:v>
                </c:pt>
                <c:pt idx="24">
                  <c:v>16.399999999999999</c:v>
                </c:pt>
                <c:pt idx="25">
                  <c:v>16.5</c:v>
                </c:pt>
                <c:pt idx="26">
                  <c:v>16.600000000000001</c:v>
                </c:pt>
                <c:pt idx="27">
                  <c:v>16.7</c:v>
                </c:pt>
                <c:pt idx="28">
                  <c:v>16.8</c:v>
                </c:pt>
                <c:pt idx="29">
                  <c:v>16.899999999999999</c:v>
                </c:pt>
                <c:pt idx="30">
                  <c:v>17</c:v>
                </c:pt>
                <c:pt idx="31">
                  <c:v>17.100000000000001</c:v>
                </c:pt>
                <c:pt idx="32">
                  <c:v>17.2</c:v>
                </c:pt>
                <c:pt idx="33">
                  <c:v>17.3</c:v>
                </c:pt>
                <c:pt idx="34">
                  <c:v>17.399999999999999</c:v>
                </c:pt>
                <c:pt idx="35">
                  <c:v>17.5</c:v>
                </c:pt>
                <c:pt idx="36">
                  <c:v>17.600000000000001</c:v>
                </c:pt>
                <c:pt idx="37">
                  <c:v>17.7</c:v>
                </c:pt>
                <c:pt idx="38">
                  <c:v>17.8</c:v>
                </c:pt>
                <c:pt idx="39">
                  <c:v>17.899999999999999</c:v>
                </c:pt>
                <c:pt idx="40">
                  <c:v>18</c:v>
                </c:pt>
                <c:pt idx="41">
                  <c:v>18.100000000000001</c:v>
                </c:pt>
                <c:pt idx="42">
                  <c:v>18.2</c:v>
                </c:pt>
                <c:pt idx="43">
                  <c:v>18.3</c:v>
                </c:pt>
                <c:pt idx="44">
                  <c:v>18.399999999999999</c:v>
                </c:pt>
                <c:pt idx="45">
                  <c:v>18.5</c:v>
                </c:pt>
                <c:pt idx="46">
                  <c:v>18.600000000000001</c:v>
                </c:pt>
                <c:pt idx="47">
                  <c:v>18.7</c:v>
                </c:pt>
                <c:pt idx="48">
                  <c:v>18.8</c:v>
                </c:pt>
                <c:pt idx="49">
                  <c:v>18.899999999999999</c:v>
                </c:pt>
                <c:pt idx="50">
                  <c:v>19</c:v>
                </c:pt>
              </c:numCache>
            </c:numRef>
          </c:xVal>
          <c:yVal>
            <c:numRef>
              <c:f>pn!$E$2:$E$52</c:f>
              <c:numCache>
                <c:formatCode>General</c:formatCode>
                <c:ptCount val="51"/>
                <c:pt idx="0">
                  <c:v>0.30862621496743881</c:v>
                </c:pt>
                <c:pt idx="1">
                  <c:v>0.31549890654789864</c:v>
                </c:pt>
                <c:pt idx="2">
                  <c:v>0.3223236780526389</c:v>
                </c:pt>
                <c:pt idx="3">
                  <c:v>0.32909984803722098</c:v>
                </c:pt>
                <c:pt idx="4">
                  <c:v>0.33582670699686379</c:v>
                </c:pt>
                <c:pt idx="5">
                  <c:v>0.34250351552999492</c:v>
                </c:pt>
                <c:pt idx="6">
                  <c:v>0.34912950233729684</c:v>
                </c:pt>
                <c:pt idx="7">
                  <c:v>0.35570386203745696</c:v>
                </c:pt>
                <c:pt idx="8">
                  <c:v>0.36222575277820063</c:v>
                </c:pt>
                <c:pt idx="9">
                  <c:v>0.36869429361812511</c:v>
                </c:pt>
                <c:pt idx="10">
                  <c:v>0.37510856165127165</c:v>
                </c:pt>
                <c:pt idx="11">
                  <c:v>0.3814675888421582</c:v>
                </c:pt>
                <c:pt idx="12">
                  <c:v>0.38777035853403824</c:v>
                </c:pt>
                <c:pt idx="13">
                  <c:v>0.39401580158728955</c:v>
                </c:pt>
                <c:pt idx="14">
                  <c:v>0.4002027920978522</c:v>
                </c:pt>
                <c:pt idx="15">
                  <c:v>0.40633014263732825</c:v>
                </c:pt>
                <c:pt idx="16">
                  <c:v>0.41239659894638786</c:v>
                </c:pt>
                <c:pt idx="17">
                  <c:v>0.41840083400112521</c:v>
                </c:pt>
                <c:pt idx="18">
                  <c:v>0.42434144135749718</c:v>
                </c:pt>
                <c:pt idx="19">
                  <c:v>0.43021692766131869</c:v>
                </c:pt>
                <c:pt idx="20">
                  <c:v>0.4360257041897127</c:v>
                </c:pt>
                <c:pt idx="21">
                  <c:v>0.4417660772633567</c:v>
                </c:pt>
                <c:pt idx="22">
                  <c:v>0.44743623733602</c:v>
                </c:pt>
                <c:pt idx="23">
                  <c:v>0.45303424652698249</c:v>
                </c:pt>
                <c:pt idx="24">
                  <c:v>0.45855802431059478</c:v>
                </c:pt>
                <c:pt idx="25">
                  <c:v>0.46400533101244124</c:v>
                </c:pt>
                <c:pt idx="26">
                  <c:v>0.46937374867900872</c:v>
                </c:pt>
                <c:pt idx="27">
                  <c:v>0.47466065878180375</c:v>
                </c:pt>
                <c:pt idx="28">
                  <c:v>0.47986321607954679</c:v>
                </c:pt>
                <c:pt idx="29">
                  <c:v>0.48497831778247474</c:v>
                </c:pt>
                <c:pt idx="30">
                  <c:v>0.49000256692537286</c:v>
                </c:pt>
                <c:pt idx="31">
                  <c:v>0.49493222853862723</c:v>
                </c:pt>
                <c:pt idx="32">
                  <c:v>0.49976317677719367</c:v>
                </c:pt>
                <c:pt idx="33">
                  <c:v>0.5044908305786634</c:v>
                </c:pt>
                <c:pt idx="34">
                  <c:v>0.50911007460262081</c:v>
                </c:pt>
                <c:pt idx="35">
                  <c:v>0.51361516104607507</c:v>
                </c:pt>
                <c:pt idx="36">
                  <c:v>0.51799958626512732</c:v>
                </c:pt>
                <c:pt idx="37">
                  <c:v>0.52225593369233869</c:v>
                </c:pt>
                <c:pt idx="38">
                  <c:v>0.52637567088271697</c:v>
                </c:pt>
                <c:pt idx="39">
                  <c:v>0.53034888290947069</c:v>
                </c:pt>
                <c:pt idx="40">
                  <c:v>0.53416391548047215</c:v>
                </c:pt>
                <c:pt idx="41">
                  <c:v>0.53780688674942845</c:v>
                </c:pt>
                <c:pt idx="42">
                  <c:v>0.54126100252646714</c:v>
                </c:pt>
                <c:pt idx="43">
                  <c:v>0.54450556695157037</c:v>
                </c:pt>
                <c:pt idx="44">
                  <c:v>0.54751450202725438</c:v>
                </c:pt>
                <c:pt idx="45">
                  <c:v>0.55025403554394814</c:v>
                </c:pt>
                <c:pt idx="46">
                  <c:v>0.55267889371281431</c:v>
                </c:pt>
                <c:pt idx="47">
                  <c:v>0.55472559216399775</c:v>
                </c:pt>
                <c:pt idx="48">
                  <c:v>0.55629950164635544</c:v>
                </c:pt>
                <c:pt idx="49">
                  <c:v>0.55724655900742925</c:v>
                </c:pt>
                <c:pt idx="50">
                  <c:v>0.55727821652979137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23-4C4E-A01E-DCCCA912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045311"/>
        <c:axId val="2045327599"/>
      </c:scatterChart>
      <c:valAx>
        <c:axId val="545045311"/>
        <c:scaling>
          <c:orientation val="minMax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327599"/>
        <c:crosses val="autoZero"/>
        <c:crossBetween val="midCat"/>
      </c:valAx>
      <c:valAx>
        <c:axId val="20453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4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166687</xdr:rowOff>
    </xdr:from>
    <xdr:to>
      <xdr:col>18</xdr:col>
      <xdr:colOff>228600</xdr:colOff>
      <xdr:row>25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33BE3-2190-9946-6DBF-5B4D8EA69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10</xdr:row>
      <xdr:rowOff>176212</xdr:rowOff>
    </xdr:from>
    <xdr:to>
      <xdr:col>18</xdr:col>
      <xdr:colOff>238125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4AD09-FBE0-DC87-8B9C-657D1D5C6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opLeftCell="A31" workbookViewId="0">
      <selection activeCell="I19" sqref="I19"/>
    </sheetView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f>10/((A2-150)^2+10^2)</f>
        <v>5.0761421319796957E-4</v>
      </c>
      <c r="C2">
        <f>(1-1/(1+EXP((A2-150)/15)))*0.02</f>
        <v>1.7683834003778819E-6</v>
      </c>
      <c r="D2">
        <f>C2+B2</f>
        <v>5.093825965983475E-4</v>
      </c>
    </row>
    <row r="3" spans="1:4" x14ac:dyDescent="0.25">
      <c r="A3">
        <v>15</v>
      </c>
      <c r="B3">
        <f t="shared" ref="B3:B60" si="0">10/((A3-150)^2+10^2)</f>
        <v>5.4570259208731246E-4</v>
      </c>
      <c r="C3">
        <f t="shared" ref="C3:C31" si="1">(1-1/(1+EXP((A3-150)/15)))*0.02</f>
        <v>2.4678915197262621E-6</v>
      </c>
      <c r="D3">
        <f t="shared" ref="D3:D31" si="2">C3+B3</f>
        <v>5.481704836070387E-4</v>
      </c>
    </row>
    <row r="4" spans="1:4" x14ac:dyDescent="0.25">
      <c r="A4">
        <v>20</v>
      </c>
      <c r="B4">
        <f t="shared" si="0"/>
        <v>5.8823529411764701E-4</v>
      </c>
      <c r="C4">
        <f t="shared" si="1"/>
        <v>3.4440519423784011E-6</v>
      </c>
      <c r="D4">
        <f t="shared" si="2"/>
        <v>5.9167934606002537E-4</v>
      </c>
    </row>
    <row r="5" spans="1:4" x14ac:dyDescent="0.25">
      <c r="A5">
        <v>25</v>
      </c>
      <c r="B5">
        <f t="shared" si="0"/>
        <v>6.3593004769475357E-4</v>
      </c>
      <c r="C5">
        <f t="shared" si="1"/>
        <v>4.8062342563781617E-6</v>
      </c>
      <c r="D5">
        <f t="shared" si="2"/>
        <v>6.4073628195113175E-4</v>
      </c>
    </row>
    <row r="6" spans="1:4" x14ac:dyDescent="0.25">
      <c r="A6">
        <v>30</v>
      </c>
      <c r="B6">
        <f t="shared" si="0"/>
        <v>6.8965517241379305E-4</v>
      </c>
      <c r="C6">
        <f t="shared" si="1"/>
        <v>6.7070026093274392E-6</v>
      </c>
      <c r="D6">
        <f t="shared" si="2"/>
        <v>6.9636217502312052E-4</v>
      </c>
    </row>
    <row r="7" spans="1:4" x14ac:dyDescent="0.25">
      <c r="A7">
        <v>35</v>
      </c>
      <c r="B7">
        <f t="shared" si="0"/>
        <v>7.5046904315196998E-4</v>
      </c>
      <c r="C7">
        <f t="shared" si="1"/>
        <v>9.3591345126564638E-6</v>
      </c>
      <c r="D7">
        <f t="shared" si="2"/>
        <v>7.5982817766462644E-4</v>
      </c>
    </row>
    <row r="8" spans="1:4" x14ac:dyDescent="0.25">
      <c r="A8">
        <v>40</v>
      </c>
      <c r="B8">
        <f t="shared" si="0"/>
        <v>8.1967213114754098E-4</v>
      </c>
      <c r="C8">
        <f t="shared" si="1"/>
        <v>1.3059306751055378E-5</v>
      </c>
      <c r="D8">
        <f t="shared" si="2"/>
        <v>8.3273143789859636E-4</v>
      </c>
    </row>
    <row r="9" spans="1:4" x14ac:dyDescent="0.25">
      <c r="A9">
        <v>45</v>
      </c>
      <c r="B9">
        <f t="shared" si="0"/>
        <v>8.9887640449438206E-4</v>
      </c>
      <c r="C9">
        <f t="shared" si="1"/>
        <v>1.8221023888012056E-5</v>
      </c>
      <c r="D9">
        <f t="shared" si="2"/>
        <v>9.1709742838239408E-4</v>
      </c>
    </row>
    <row r="10" spans="1:4" x14ac:dyDescent="0.25">
      <c r="A10">
        <v>50</v>
      </c>
      <c r="B10">
        <f t="shared" si="0"/>
        <v>9.9009900990099011E-4</v>
      </c>
      <c r="C10">
        <f t="shared" si="1"/>
        <v>2.5420325261626966E-5</v>
      </c>
      <c r="D10">
        <f t="shared" si="2"/>
        <v>1.0155193351626172E-3</v>
      </c>
    </row>
    <row r="11" spans="1:4" x14ac:dyDescent="0.25">
      <c r="A11">
        <v>55</v>
      </c>
      <c r="B11">
        <f t="shared" si="0"/>
        <v>1.095890410958904E-3</v>
      </c>
      <c r="C11">
        <f t="shared" si="1"/>
        <v>3.5459091895844172E-5</v>
      </c>
      <c r="D11">
        <f t="shared" si="2"/>
        <v>1.1313495028547481E-3</v>
      </c>
    </row>
    <row r="12" spans="1:4" x14ac:dyDescent="0.25">
      <c r="A12">
        <v>60</v>
      </c>
      <c r="B12">
        <f t="shared" si="0"/>
        <v>1.2195121951219512E-3</v>
      </c>
      <c r="C12">
        <f t="shared" si="1"/>
        <v>4.9452463132693139E-5</v>
      </c>
      <c r="D12">
        <f t="shared" si="2"/>
        <v>1.2689646582546444E-3</v>
      </c>
    </row>
    <row r="13" spans="1:4" x14ac:dyDescent="0.25">
      <c r="A13">
        <v>65</v>
      </c>
      <c r="B13">
        <f t="shared" si="0"/>
        <v>1.3651877133105802E-3</v>
      </c>
      <c r="C13">
        <f t="shared" si="1"/>
        <v>6.8949026031273064E-5</v>
      </c>
      <c r="D13">
        <f t="shared" si="2"/>
        <v>1.4341367393418533E-3</v>
      </c>
    </row>
    <row r="14" spans="1:4" x14ac:dyDescent="0.25">
      <c r="A14">
        <v>70</v>
      </c>
      <c r="B14">
        <f t="shared" si="0"/>
        <v>1.5384615384615385E-3</v>
      </c>
      <c r="C14">
        <f t="shared" si="1"/>
        <v>9.6095057743190716E-5</v>
      </c>
      <c r="D14">
        <f t="shared" si="2"/>
        <v>1.6345565962047291E-3</v>
      </c>
    </row>
    <row r="15" spans="1:4" x14ac:dyDescent="0.25">
      <c r="A15">
        <v>75</v>
      </c>
      <c r="B15">
        <f t="shared" si="0"/>
        <v>1.7467248908296944E-3</v>
      </c>
      <c r="C15">
        <f t="shared" si="1"/>
        <v>1.3385701848569464E-4</v>
      </c>
      <c r="D15">
        <f t="shared" si="2"/>
        <v>1.8805819093153889E-3</v>
      </c>
    </row>
    <row r="16" spans="1:4" x14ac:dyDescent="0.25">
      <c r="A16">
        <v>80</v>
      </c>
      <c r="B16">
        <f t="shared" si="0"/>
        <v>2E-3</v>
      </c>
      <c r="C16">
        <f t="shared" si="1"/>
        <v>1.8631918690133366E-4</v>
      </c>
      <c r="D16">
        <f t="shared" si="2"/>
        <v>2.1863191869013338E-3</v>
      </c>
    </row>
    <row r="17" spans="1:10" x14ac:dyDescent="0.25">
      <c r="A17">
        <v>85</v>
      </c>
      <c r="B17">
        <f t="shared" si="0"/>
        <v>2.3121387283236996E-3</v>
      </c>
      <c r="C17">
        <f t="shared" si="1"/>
        <v>2.5907455061391805E-4</v>
      </c>
      <c r="D17">
        <f t="shared" si="2"/>
        <v>2.5712132789376175E-3</v>
      </c>
    </row>
    <row r="18" spans="1:10" x14ac:dyDescent="0.25">
      <c r="A18">
        <v>90</v>
      </c>
      <c r="B18">
        <f t="shared" si="0"/>
        <v>2.7027027027027029E-3</v>
      </c>
      <c r="C18">
        <f t="shared" si="1"/>
        <v>3.5972419924183095E-4</v>
      </c>
      <c r="D18">
        <f t="shared" si="2"/>
        <v>3.0624269019445339E-3</v>
      </c>
    </row>
    <row r="19" spans="1:10" x14ac:dyDescent="0.25">
      <c r="A19">
        <v>95</v>
      </c>
      <c r="B19">
        <f t="shared" si="0"/>
        <v>3.2000000000000002E-3</v>
      </c>
      <c r="C19">
        <f t="shared" si="1"/>
        <v>4.9848853294228053E-4</v>
      </c>
      <c r="D19">
        <f t="shared" si="2"/>
        <v>3.6984885329422808E-3</v>
      </c>
    </row>
    <row r="20" spans="1:10" x14ac:dyDescent="0.25">
      <c r="A20">
        <v>100</v>
      </c>
      <c r="B20">
        <f t="shared" si="0"/>
        <v>3.8461538461538464E-3</v>
      </c>
      <c r="C20">
        <f t="shared" si="1"/>
        <v>6.8890391332422142E-4</v>
      </c>
      <c r="D20">
        <f t="shared" si="2"/>
        <v>4.5350577594780676E-3</v>
      </c>
    </row>
    <row r="21" spans="1:10" x14ac:dyDescent="0.25">
      <c r="A21">
        <v>105</v>
      </c>
      <c r="B21">
        <f t="shared" si="0"/>
        <v>4.7058823529411761E-3</v>
      </c>
      <c r="C21">
        <f t="shared" si="1"/>
        <v>9.4851746355133269E-4</v>
      </c>
      <c r="D21">
        <f t="shared" si="2"/>
        <v>5.6543998164925091E-3</v>
      </c>
    </row>
    <row r="22" spans="1:10" x14ac:dyDescent="0.25">
      <c r="A22">
        <v>110</v>
      </c>
      <c r="B22">
        <f t="shared" si="0"/>
        <v>5.8823529411764705E-3</v>
      </c>
      <c r="C22">
        <f t="shared" si="1"/>
        <v>1.2993833825732804E-3</v>
      </c>
      <c r="D22">
        <f t="shared" si="2"/>
        <v>7.1817363237497512E-3</v>
      </c>
    </row>
    <row r="23" spans="1:10" x14ac:dyDescent="0.25">
      <c r="A23">
        <v>115</v>
      </c>
      <c r="B23">
        <f t="shared" si="0"/>
        <v>7.5471698113207548E-3</v>
      </c>
      <c r="C23">
        <f t="shared" si="1"/>
        <v>1.7679935441411666E-3</v>
      </c>
      <c r="D23">
        <f t="shared" si="2"/>
        <v>9.3151633554619216E-3</v>
      </c>
      <c r="J23" t="s">
        <v>7</v>
      </c>
    </row>
    <row r="24" spans="1:10" x14ac:dyDescent="0.25">
      <c r="A24">
        <v>120</v>
      </c>
      <c r="B24">
        <f t="shared" si="0"/>
        <v>0.01</v>
      </c>
      <c r="C24">
        <f t="shared" si="1"/>
        <v>2.3840584404423537E-3</v>
      </c>
      <c r="D24">
        <f t="shared" si="2"/>
        <v>1.2384058440442354E-2</v>
      </c>
    </row>
    <row r="25" spans="1:10" x14ac:dyDescent="0.25">
      <c r="A25">
        <v>125</v>
      </c>
      <c r="B25">
        <f t="shared" si="0"/>
        <v>1.3793103448275862E-2</v>
      </c>
      <c r="C25">
        <f t="shared" si="1"/>
        <v>3.1773820976183022E-3</v>
      </c>
      <c r="D25">
        <f t="shared" si="2"/>
        <v>1.6970485545894164E-2</v>
      </c>
    </row>
    <row r="26" spans="1:10" x14ac:dyDescent="0.25">
      <c r="A26">
        <v>130</v>
      </c>
      <c r="B26">
        <f t="shared" si="0"/>
        <v>0.02</v>
      </c>
      <c r="C26">
        <f t="shared" si="1"/>
        <v>4.1721705465208991E-3</v>
      </c>
      <c r="D26">
        <f t="shared" si="2"/>
        <v>2.4172170546520898E-2</v>
      </c>
    </row>
    <row r="27" spans="1:10" x14ac:dyDescent="0.25">
      <c r="A27">
        <v>135</v>
      </c>
      <c r="B27">
        <f t="shared" si="0"/>
        <v>3.0769230769230771E-2</v>
      </c>
      <c r="C27">
        <f t="shared" si="1"/>
        <v>5.3788284273999024E-3</v>
      </c>
      <c r="D27">
        <f t="shared" si="2"/>
        <v>3.6148059196630673E-2</v>
      </c>
    </row>
    <row r="28" spans="1:10" x14ac:dyDescent="0.25">
      <c r="A28">
        <v>140</v>
      </c>
      <c r="B28">
        <f t="shared" si="0"/>
        <v>0.05</v>
      </c>
      <c r="C28">
        <f t="shared" si="1"/>
        <v>6.7848726246836554E-3</v>
      </c>
      <c r="D28">
        <f t="shared" si="2"/>
        <v>5.6784872624683659E-2</v>
      </c>
    </row>
    <row r="29" spans="1:10" x14ac:dyDescent="0.25">
      <c r="A29">
        <v>145</v>
      </c>
      <c r="B29">
        <f t="shared" si="0"/>
        <v>0.08</v>
      </c>
      <c r="C29">
        <f t="shared" si="1"/>
        <v>8.3485958707537056E-3</v>
      </c>
      <c r="D29">
        <f t="shared" si="2"/>
        <v>8.8348595870753707E-2</v>
      </c>
    </row>
    <row r="30" spans="1:10" x14ac:dyDescent="0.25">
      <c r="A30">
        <v>150</v>
      </c>
      <c r="B30">
        <f t="shared" si="0"/>
        <v>0.1</v>
      </c>
      <c r="C30">
        <f t="shared" si="1"/>
        <v>0.01</v>
      </c>
      <c r="D30">
        <f t="shared" si="2"/>
        <v>0.11</v>
      </c>
    </row>
    <row r="31" spans="1:10" x14ac:dyDescent="0.25">
      <c r="A31">
        <v>155</v>
      </c>
      <c r="B31">
        <f t="shared" si="0"/>
        <v>0.08</v>
      </c>
      <c r="C31">
        <f t="shared" si="1"/>
        <v>1.1651404129246295E-2</v>
      </c>
      <c r="D31">
        <f t="shared" si="2"/>
        <v>9.16514041292463E-2</v>
      </c>
    </row>
    <row r="32" spans="1:10" x14ac:dyDescent="0.25">
      <c r="A32">
        <v>160</v>
      </c>
      <c r="B32">
        <f t="shared" si="0"/>
        <v>0.05</v>
      </c>
      <c r="C32">
        <f t="shared" ref="C32:C60" si="3">(1-1/(1+EXP((A32-150)/15)))*0.02</f>
        <v>1.3215127375316342E-2</v>
      </c>
      <c r="D32">
        <f t="shared" ref="D32:D60" si="4">C32+B32</f>
        <v>6.3215127375316343E-2</v>
      </c>
    </row>
    <row r="33" spans="1:4" x14ac:dyDescent="0.25">
      <c r="A33">
        <v>165</v>
      </c>
      <c r="B33">
        <f t="shared" si="0"/>
        <v>3.0769230769230771E-2</v>
      </c>
      <c r="C33">
        <f t="shared" si="3"/>
        <v>1.4621171572600098E-2</v>
      </c>
      <c r="D33">
        <f t="shared" si="4"/>
        <v>4.5390402341830866E-2</v>
      </c>
    </row>
    <row r="34" spans="1:4" x14ac:dyDescent="0.25">
      <c r="A34">
        <v>170</v>
      </c>
      <c r="B34">
        <f t="shared" si="0"/>
        <v>0.02</v>
      </c>
      <c r="C34">
        <f t="shared" si="3"/>
        <v>1.58278294534791E-2</v>
      </c>
      <c r="D34">
        <f t="shared" si="4"/>
        <v>3.58278294534791E-2</v>
      </c>
    </row>
    <row r="35" spans="1:4" x14ac:dyDescent="0.25">
      <c r="A35">
        <v>175</v>
      </c>
      <c r="B35">
        <f t="shared" si="0"/>
        <v>1.3793103448275862E-2</v>
      </c>
      <c r="C35">
        <f t="shared" si="3"/>
        <v>1.6822617902381695E-2</v>
      </c>
      <c r="D35">
        <f t="shared" si="4"/>
        <v>3.0615721350657557E-2</v>
      </c>
    </row>
    <row r="36" spans="1:4" x14ac:dyDescent="0.25">
      <c r="A36">
        <v>180</v>
      </c>
      <c r="B36">
        <f t="shared" si="0"/>
        <v>0.01</v>
      </c>
      <c r="C36">
        <f t="shared" si="3"/>
        <v>1.761594155955765E-2</v>
      </c>
      <c r="D36">
        <f t="shared" si="4"/>
        <v>2.7615941559557648E-2</v>
      </c>
    </row>
    <row r="37" spans="1:4" x14ac:dyDescent="0.25">
      <c r="A37">
        <v>185</v>
      </c>
      <c r="B37">
        <f t="shared" si="0"/>
        <v>7.5471698113207548E-3</v>
      </c>
      <c r="C37">
        <f t="shared" si="3"/>
        <v>1.8232006455858832E-2</v>
      </c>
      <c r="D37">
        <f t="shared" si="4"/>
        <v>2.5779176267179585E-2</v>
      </c>
    </row>
    <row r="38" spans="1:4" x14ac:dyDescent="0.25">
      <c r="A38">
        <v>190</v>
      </c>
      <c r="B38">
        <f t="shared" si="0"/>
        <v>5.8823529411764705E-3</v>
      </c>
      <c r="C38">
        <f t="shared" si="3"/>
        <v>1.8700616617426721E-2</v>
      </c>
      <c r="D38">
        <f t="shared" si="4"/>
        <v>2.4582969558603191E-2</v>
      </c>
    </row>
    <row r="39" spans="1:4" x14ac:dyDescent="0.25">
      <c r="A39">
        <v>195</v>
      </c>
      <c r="B39">
        <f t="shared" si="0"/>
        <v>4.7058823529411761E-3</v>
      </c>
      <c r="C39">
        <f t="shared" si="3"/>
        <v>1.9051482536448665E-2</v>
      </c>
      <c r="D39">
        <f t="shared" si="4"/>
        <v>2.3757364889389843E-2</v>
      </c>
    </row>
    <row r="40" spans="1:4" x14ac:dyDescent="0.25">
      <c r="A40">
        <v>200</v>
      </c>
      <c r="B40">
        <f t="shared" si="0"/>
        <v>3.8461538461538464E-3</v>
      </c>
      <c r="C40">
        <f t="shared" si="3"/>
        <v>1.9311096086675777E-2</v>
      </c>
      <c r="D40">
        <f t="shared" si="4"/>
        <v>2.3157249932829624E-2</v>
      </c>
    </row>
    <row r="41" spans="1:4" x14ac:dyDescent="0.25">
      <c r="A41">
        <v>205</v>
      </c>
      <c r="B41">
        <f t="shared" si="0"/>
        <v>3.2000000000000002E-3</v>
      </c>
      <c r="C41">
        <f t="shared" si="3"/>
        <v>1.9501511467057722E-2</v>
      </c>
      <c r="D41">
        <f t="shared" si="4"/>
        <v>2.2701511467057723E-2</v>
      </c>
    </row>
    <row r="42" spans="1:4" x14ac:dyDescent="0.25">
      <c r="A42">
        <v>210</v>
      </c>
      <c r="B42">
        <f t="shared" si="0"/>
        <v>2.7027027027027029E-3</v>
      </c>
      <c r="C42">
        <f t="shared" si="3"/>
        <v>1.964027580075817E-2</v>
      </c>
      <c r="D42">
        <f t="shared" si="4"/>
        <v>2.2342978503460873E-2</v>
      </c>
    </row>
    <row r="43" spans="1:4" x14ac:dyDescent="0.25">
      <c r="A43">
        <v>215</v>
      </c>
      <c r="B43">
        <f t="shared" si="0"/>
        <v>2.3121387283236996E-3</v>
      </c>
      <c r="C43">
        <f t="shared" si="3"/>
        <v>1.9740925449386083E-2</v>
      </c>
      <c r="D43">
        <f t="shared" si="4"/>
        <v>2.2053064177709782E-2</v>
      </c>
    </row>
    <row r="44" spans="1:4" x14ac:dyDescent="0.25">
      <c r="A44">
        <v>220</v>
      </c>
      <c r="B44">
        <f t="shared" si="0"/>
        <v>2E-3</v>
      </c>
      <c r="C44">
        <f t="shared" si="3"/>
        <v>1.9813680813098668E-2</v>
      </c>
      <c r="D44">
        <f t="shared" si="4"/>
        <v>2.1813680813098667E-2</v>
      </c>
    </row>
    <row r="45" spans="1:4" x14ac:dyDescent="0.25">
      <c r="A45">
        <v>225</v>
      </c>
      <c r="B45">
        <f t="shared" si="0"/>
        <v>1.7467248908296944E-3</v>
      </c>
      <c r="C45">
        <f t="shared" si="3"/>
        <v>1.9866142981514304E-2</v>
      </c>
      <c r="D45">
        <f t="shared" si="4"/>
        <v>2.1612867872343997E-2</v>
      </c>
    </row>
    <row r="46" spans="1:4" x14ac:dyDescent="0.25">
      <c r="A46">
        <v>230</v>
      </c>
      <c r="B46">
        <f t="shared" si="0"/>
        <v>1.5384615384615385E-3</v>
      </c>
      <c r="C46">
        <f t="shared" si="3"/>
        <v>1.9903904942256811E-2</v>
      </c>
      <c r="D46">
        <f t="shared" si="4"/>
        <v>2.1442366480718348E-2</v>
      </c>
    </row>
    <row r="47" spans="1:4" x14ac:dyDescent="0.25">
      <c r="A47">
        <v>235</v>
      </c>
      <c r="B47">
        <f t="shared" si="0"/>
        <v>1.3651877133105802E-3</v>
      </c>
      <c r="C47">
        <f t="shared" si="3"/>
        <v>1.9931050973968731E-2</v>
      </c>
      <c r="D47">
        <f t="shared" si="4"/>
        <v>2.1296238687279312E-2</v>
      </c>
    </row>
    <row r="48" spans="1:4" x14ac:dyDescent="0.25">
      <c r="A48">
        <v>240</v>
      </c>
      <c r="B48">
        <f t="shared" si="0"/>
        <v>1.2195121951219512E-3</v>
      </c>
      <c r="C48">
        <f t="shared" si="3"/>
        <v>1.9950547536867307E-2</v>
      </c>
      <c r="D48">
        <f t="shared" si="4"/>
        <v>2.1170059731989259E-2</v>
      </c>
    </row>
    <row r="49" spans="1:4" x14ac:dyDescent="0.25">
      <c r="A49">
        <v>245</v>
      </c>
      <c r="B49">
        <f t="shared" si="0"/>
        <v>1.095890410958904E-3</v>
      </c>
      <c r="C49">
        <f t="shared" si="3"/>
        <v>1.9964540908104157E-2</v>
      </c>
      <c r="D49">
        <f t="shared" si="4"/>
        <v>2.1060431319063062E-2</v>
      </c>
    </row>
    <row r="50" spans="1:4" x14ac:dyDescent="0.25">
      <c r="A50">
        <v>250</v>
      </c>
      <c r="B50">
        <f t="shared" si="0"/>
        <v>9.9009900990099011E-4</v>
      </c>
      <c r="C50">
        <f t="shared" si="3"/>
        <v>1.9974579674738372E-2</v>
      </c>
      <c r="D50">
        <f t="shared" si="4"/>
        <v>2.0964678684639363E-2</v>
      </c>
    </row>
    <row r="51" spans="1:4" x14ac:dyDescent="0.25">
      <c r="A51">
        <v>255</v>
      </c>
      <c r="B51">
        <f t="shared" si="0"/>
        <v>8.9887640449438206E-4</v>
      </c>
      <c r="C51">
        <f t="shared" si="3"/>
        <v>1.9981778976111988E-2</v>
      </c>
      <c r="D51">
        <f t="shared" si="4"/>
        <v>2.0880655380606371E-2</v>
      </c>
    </row>
    <row r="52" spans="1:4" x14ac:dyDescent="0.25">
      <c r="A52">
        <v>260</v>
      </c>
      <c r="B52">
        <f t="shared" si="0"/>
        <v>8.1967213114754098E-4</v>
      </c>
      <c r="C52">
        <f t="shared" si="3"/>
        <v>1.9986940693248946E-2</v>
      </c>
      <c r="D52">
        <f t="shared" si="4"/>
        <v>2.0806612824396487E-2</v>
      </c>
    </row>
    <row r="53" spans="1:4" x14ac:dyDescent="0.25">
      <c r="A53">
        <v>265</v>
      </c>
      <c r="B53">
        <f t="shared" si="0"/>
        <v>7.5046904315196998E-4</v>
      </c>
      <c r="C53">
        <f t="shared" si="3"/>
        <v>1.9990640865487342E-2</v>
      </c>
      <c r="D53">
        <f t="shared" si="4"/>
        <v>2.074110990863931E-2</v>
      </c>
    </row>
    <row r="54" spans="1:4" x14ac:dyDescent="0.25">
      <c r="A54">
        <v>270</v>
      </c>
      <c r="B54">
        <f t="shared" si="0"/>
        <v>6.8965517241379305E-4</v>
      </c>
      <c r="C54">
        <f t="shared" si="3"/>
        <v>1.9993292997390669E-2</v>
      </c>
      <c r="D54">
        <f t="shared" si="4"/>
        <v>2.0682948169804462E-2</v>
      </c>
    </row>
    <row r="55" spans="1:4" x14ac:dyDescent="0.25">
      <c r="A55">
        <v>275</v>
      </c>
      <c r="B55">
        <f t="shared" si="0"/>
        <v>6.3593004769475357E-4</v>
      </c>
      <c r="C55">
        <f t="shared" si="3"/>
        <v>1.9995193765743623E-2</v>
      </c>
      <c r="D55">
        <f t="shared" si="4"/>
        <v>2.0631123813438377E-2</v>
      </c>
    </row>
    <row r="56" spans="1:4" x14ac:dyDescent="0.25">
      <c r="A56">
        <v>280</v>
      </c>
      <c r="B56">
        <f t="shared" si="0"/>
        <v>5.8823529411764701E-4</v>
      </c>
      <c r="C56">
        <f t="shared" si="3"/>
        <v>1.9996555948057621E-2</v>
      </c>
      <c r="D56">
        <f t="shared" si="4"/>
        <v>2.0584791242175268E-2</v>
      </c>
    </row>
    <row r="57" spans="1:4" x14ac:dyDescent="0.25">
      <c r="A57">
        <v>285</v>
      </c>
      <c r="B57">
        <f t="shared" si="0"/>
        <v>5.4570259208731246E-4</v>
      </c>
      <c r="C57">
        <f t="shared" si="3"/>
        <v>1.9997532108480275E-2</v>
      </c>
      <c r="D57">
        <f t="shared" si="4"/>
        <v>2.0543234700567587E-2</v>
      </c>
    </row>
    <row r="58" spans="1:4" x14ac:dyDescent="0.25">
      <c r="A58">
        <v>290</v>
      </c>
      <c r="B58">
        <f t="shared" si="0"/>
        <v>5.0761421319796957E-4</v>
      </c>
      <c r="C58">
        <f t="shared" si="3"/>
        <v>1.9998231616599624E-2</v>
      </c>
      <c r="D58">
        <f t="shared" si="4"/>
        <v>2.0505845829797593E-2</v>
      </c>
    </row>
    <row r="59" spans="1:4" x14ac:dyDescent="0.25">
      <c r="A59">
        <v>295</v>
      </c>
      <c r="B59">
        <f t="shared" si="0"/>
        <v>4.7337278106508875E-4</v>
      </c>
      <c r="C59">
        <f t="shared" si="3"/>
        <v>1.9998732866165003E-2</v>
      </c>
      <c r="D59">
        <f t="shared" si="4"/>
        <v>2.047210564723009E-2</v>
      </c>
    </row>
    <row r="60" spans="1:4" x14ac:dyDescent="0.25">
      <c r="A60">
        <v>300</v>
      </c>
      <c r="B60">
        <f t="shared" si="0"/>
        <v>4.4247787610619468E-4</v>
      </c>
      <c r="C60">
        <f t="shared" si="3"/>
        <v>1.9999092042625951E-2</v>
      </c>
      <c r="D60">
        <f t="shared" si="4"/>
        <v>2.0441569918732146E-2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1938-9F6A-4CA3-AACB-024A25FCA8F0}">
  <dimension ref="A1:E52"/>
  <sheetViews>
    <sheetView tabSelected="1" topLeftCell="A19" workbookViewId="0">
      <selection activeCell="D53" sqref="D53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</row>
    <row r="2" spans="1:5" x14ac:dyDescent="0.25">
      <c r="A2">
        <v>14</v>
      </c>
      <c r="B2">
        <f>10^A2</f>
        <v>100000000000000</v>
      </c>
      <c r="C2">
        <f>0.0258*2*LN(B2/10000000000)</f>
        <v>0.47525356319397105</v>
      </c>
      <c r="D2">
        <f>0.5+((19.2-A2)^0.6)/18</f>
        <v>0.64939274288297211</v>
      </c>
      <c r="E2">
        <f>D2*C2</f>
        <v>0.30862621496743881</v>
      </c>
    </row>
    <row r="3" spans="1:5" x14ac:dyDescent="0.25">
      <c r="A3">
        <v>14.1</v>
      </c>
      <c r="B3">
        <f t="shared" ref="B3:B52" si="0">10^A3</f>
        <v>125892541179416.77</v>
      </c>
      <c r="C3">
        <f t="shared" ref="C3:C52" si="1">0.0258*2*LN(B3/10000000000)</f>
        <v>0.48713490227382028</v>
      </c>
      <c r="D3">
        <f t="shared" ref="D3:D53" si="2">0.5+((19.2-A3)^0.6)/18</f>
        <v>0.64766229041530587</v>
      </c>
      <c r="E3">
        <f t="shared" ref="E3:E52" si="3">D3*C3</f>
        <v>0.31549890654789864</v>
      </c>
    </row>
    <row r="4" spans="1:5" x14ac:dyDescent="0.25">
      <c r="A4">
        <v>14.2</v>
      </c>
      <c r="B4">
        <f t="shared" si="0"/>
        <v>158489319246111.25</v>
      </c>
      <c r="C4">
        <f t="shared" si="1"/>
        <v>0.49901624135366951</v>
      </c>
      <c r="D4">
        <f t="shared" si="2"/>
        <v>0.64591821135576488</v>
      </c>
      <c r="E4">
        <f t="shared" si="3"/>
        <v>0.3223236780526389</v>
      </c>
    </row>
    <row r="5" spans="1:5" x14ac:dyDescent="0.25">
      <c r="A5">
        <v>14.3</v>
      </c>
      <c r="B5">
        <f t="shared" si="0"/>
        <v>199526231496889.06</v>
      </c>
      <c r="C5">
        <f t="shared" si="1"/>
        <v>0.51089758043351907</v>
      </c>
      <c r="D5">
        <f t="shared" si="2"/>
        <v>0.64416012257870803</v>
      </c>
      <c r="E5">
        <f t="shared" si="3"/>
        <v>0.32909984803722098</v>
      </c>
    </row>
    <row r="6" spans="1:5" x14ac:dyDescent="0.25">
      <c r="A6">
        <v>14.4</v>
      </c>
      <c r="B6">
        <f t="shared" si="0"/>
        <v>251188643150959.16</v>
      </c>
      <c r="C6">
        <f t="shared" si="1"/>
        <v>0.5227789195133683</v>
      </c>
      <c r="D6">
        <f t="shared" si="2"/>
        <v>0.64238762211274691</v>
      </c>
      <c r="E6">
        <f t="shared" si="3"/>
        <v>0.33582670699686379</v>
      </c>
    </row>
    <row r="7" spans="1:5" x14ac:dyDescent="0.25">
      <c r="A7">
        <v>14.5</v>
      </c>
      <c r="B7">
        <f t="shared" si="0"/>
        <v>316227766016839.06</v>
      </c>
      <c r="C7">
        <f t="shared" si="1"/>
        <v>0.53466025859321753</v>
      </c>
      <c r="D7">
        <f t="shared" si="2"/>
        <v>0.64060028779992018</v>
      </c>
      <c r="E7">
        <f t="shared" si="3"/>
        <v>0.34250351552999492</v>
      </c>
    </row>
    <row r="8" spans="1:5" x14ac:dyDescent="0.25">
      <c r="A8">
        <v>14.6</v>
      </c>
      <c r="B8">
        <f t="shared" si="0"/>
        <v>398107170553498.31</v>
      </c>
      <c r="C8">
        <f t="shared" si="1"/>
        <v>0.54654159767306676</v>
      </c>
      <c r="D8">
        <f t="shared" si="2"/>
        <v>0.63879767582876834</v>
      </c>
      <c r="E8">
        <f t="shared" si="3"/>
        <v>0.34912950233729684</v>
      </c>
    </row>
    <row r="9" spans="1:5" x14ac:dyDescent="0.25">
      <c r="A9">
        <v>14.7</v>
      </c>
      <c r="B9">
        <f t="shared" si="0"/>
        <v>501187233627273.13</v>
      </c>
      <c r="C9">
        <f t="shared" si="1"/>
        <v>0.55842293675291599</v>
      </c>
      <c r="D9">
        <f t="shared" si="2"/>
        <v>0.63697931912643546</v>
      </c>
      <c r="E9">
        <f t="shared" si="3"/>
        <v>0.35570386203745696</v>
      </c>
    </row>
    <row r="10" spans="1:5" x14ac:dyDescent="0.25">
      <c r="A10">
        <v>14.8</v>
      </c>
      <c r="B10">
        <f t="shared" si="0"/>
        <v>630957344480198.25</v>
      </c>
      <c r="C10">
        <f t="shared" si="1"/>
        <v>0.57030427583276566</v>
      </c>
      <c r="D10">
        <f t="shared" si="2"/>
        <v>0.63514472559279678</v>
      </c>
      <c r="E10">
        <f t="shared" si="3"/>
        <v>0.36222575277820063</v>
      </c>
    </row>
    <row r="11" spans="1:5" x14ac:dyDescent="0.25">
      <c r="A11">
        <v>14.9</v>
      </c>
      <c r="B11">
        <f t="shared" si="0"/>
        <v>794328234724287</v>
      </c>
      <c r="C11">
        <f t="shared" si="1"/>
        <v>0.58218561491261489</v>
      </c>
      <c r="D11">
        <f t="shared" si="2"/>
        <v>0.63329337615713077</v>
      </c>
      <c r="E11">
        <f t="shared" si="3"/>
        <v>0.36869429361812511</v>
      </c>
    </row>
    <row r="12" spans="1:5" x14ac:dyDescent="0.25">
      <c r="A12">
        <v>15</v>
      </c>
      <c r="B12">
        <f t="shared" si="0"/>
        <v>1000000000000000</v>
      </c>
      <c r="C12">
        <f t="shared" si="1"/>
        <v>0.59406695399246379</v>
      </c>
      <c r="D12">
        <f t="shared" si="2"/>
        <v>0.63142472263493421</v>
      </c>
      <c r="E12">
        <f t="shared" si="3"/>
        <v>0.37510856165127165</v>
      </c>
    </row>
    <row r="13" spans="1:5" x14ac:dyDescent="0.25">
      <c r="A13">
        <v>15.1</v>
      </c>
      <c r="B13">
        <f t="shared" si="0"/>
        <v>1258925411794173.5</v>
      </c>
      <c r="C13">
        <f t="shared" si="1"/>
        <v>0.60594829307231335</v>
      </c>
      <c r="D13">
        <f t="shared" si="2"/>
        <v>0.62953818535905037</v>
      </c>
      <c r="E13">
        <f t="shared" si="3"/>
        <v>0.3814675888421582</v>
      </c>
    </row>
    <row r="14" spans="1:5" x14ac:dyDescent="0.25">
      <c r="A14">
        <v>15.2</v>
      </c>
      <c r="B14">
        <f t="shared" si="0"/>
        <v>1584893192461119.8</v>
      </c>
      <c r="C14">
        <f t="shared" si="1"/>
        <v>0.61782963215216258</v>
      </c>
      <c r="D14">
        <f t="shared" si="2"/>
        <v>0.62763315055522617</v>
      </c>
      <c r="E14">
        <f t="shared" si="3"/>
        <v>0.38777035853403824</v>
      </c>
    </row>
    <row r="15" spans="1:5" x14ac:dyDescent="0.25">
      <c r="A15">
        <v>15.3</v>
      </c>
      <c r="B15">
        <f t="shared" si="0"/>
        <v>1995262314968885.8</v>
      </c>
      <c r="C15">
        <f t="shared" si="1"/>
        <v>0.6297109712320117</v>
      </c>
      <c r="D15">
        <f t="shared" si="2"/>
        <v>0.62570896742740367</v>
      </c>
      <c r="E15">
        <f t="shared" si="3"/>
        <v>0.39401580158728955</v>
      </c>
    </row>
    <row r="16" spans="1:5" x14ac:dyDescent="0.25">
      <c r="A16">
        <v>15.4</v>
      </c>
      <c r="B16">
        <f t="shared" si="0"/>
        <v>2511886431509585.5</v>
      </c>
      <c r="C16">
        <f t="shared" si="1"/>
        <v>0.64159231031186092</v>
      </c>
      <c r="D16">
        <f t="shared" si="2"/>
        <v>0.62376494491232959</v>
      </c>
      <c r="E16">
        <f t="shared" si="3"/>
        <v>0.4002027920978522</v>
      </c>
    </row>
    <row r="17" spans="1:5" x14ac:dyDescent="0.25">
      <c r="A17">
        <v>15.5</v>
      </c>
      <c r="B17">
        <f t="shared" si="0"/>
        <v>3162277660168383</v>
      </c>
      <c r="C17">
        <f t="shared" si="1"/>
        <v>0.65347364939171015</v>
      </c>
      <c r="D17">
        <f t="shared" si="2"/>
        <v>0.62180034805621176</v>
      </c>
      <c r="E17">
        <f t="shared" si="3"/>
        <v>0.40633014263732825</v>
      </c>
    </row>
    <row r="18" spans="1:5" x14ac:dyDescent="0.25">
      <c r="A18">
        <v>15.6</v>
      </c>
      <c r="B18">
        <f t="shared" si="0"/>
        <v>3981071705534973.5</v>
      </c>
      <c r="C18">
        <f t="shared" si="1"/>
        <v>0.66535498847155938</v>
      </c>
      <c r="D18">
        <f t="shared" si="2"/>
        <v>0.61981439395793414</v>
      </c>
      <c r="E18">
        <f t="shared" si="3"/>
        <v>0.41239659894638786</v>
      </c>
    </row>
    <row r="19" spans="1:5" x14ac:dyDescent="0.25">
      <c r="A19">
        <v>15.7</v>
      </c>
      <c r="B19">
        <f t="shared" si="0"/>
        <v>5011872336272719</v>
      </c>
      <c r="C19">
        <f t="shared" si="1"/>
        <v>0.67723632755140861</v>
      </c>
      <c r="D19">
        <f t="shared" si="2"/>
        <v>0.61780624721340671</v>
      </c>
      <c r="E19">
        <f t="shared" si="3"/>
        <v>0.41840083400112521</v>
      </c>
    </row>
    <row r="20" spans="1:5" x14ac:dyDescent="0.25">
      <c r="A20">
        <v>15.8</v>
      </c>
      <c r="B20">
        <f t="shared" si="0"/>
        <v>6309573444801966</v>
      </c>
      <c r="C20">
        <f t="shared" si="1"/>
        <v>0.68911766663125829</v>
      </c>
      <c r="D20">
        <f t="shared" si="2"/>
        <v>0.61577501478359153</v>
      </c>
      <c r="E20">
        <f t="shared" si="3"/>
        <v>0.42434144135749718</v>
      </c>
    </row>
    <row r="21" spans="1:5" x14ac:dyDescent="0.25">
      <c r="A21">
        <v>15.9</v>
      </c>
      <c r="B21">
        <f t="shared" si="0"/>
        <v>7943282347242850</v>
      </c>
      <c r="C21">
        <f t="shared" si="1"/>
        <v>0.70099900571110751</v>
      </c>
      <c r="D21">
        <f t="shared" si="2"/>
        <v>0.61371974019406483</v>
      </c>
      <c r="E21">
        <f t="shared" si="3"/>
        <v>0.43021692766131869</v>
      </c>
    </row>
    <row r="22" spans="1:5" x14ac:dyDescent="0.25">
      <c r="A22">
        <v>16</v>
      </c>
      <c r="B22">
        <f t="shared" si="0"/>
        <v>1E+16</v>
      </c>
      <c r="C22">
        <f t="shared" si="1"/>
        <v>0.71288034479095652</v>
      </c>
      <c r="D22">
        <f t="shared" si="2"/>
        <v>0.61163939695598135</v>
      </c>
      <c r="E22">
        <f t="shared" si="3"/>
        <v>0.4360257041897127</v>
      </c>
    </row>
    <row r="23" spans="1:5" x14ac:dyDescent="0.25">
      <c r="A23">
        <v>16.100000000000001</v>
      </c>
      <c r="B23">
        <f t="shared" si="0"/>
        <v>1.2589254117941794E+16</v>
      </c>
      <c r="C23">
        <f t="shared" si="1"/>
        <v>0.72476168387080631</v>
      </c>
      <c r="D23">
        <f t="shared" si="2"/>
        <v>0.60953288107612558</v>
      </c>
      <c r="E23">
        <f t="shared" si="3"/>
        <v>0.4417660772633567</v>
      </c>
    </row>
    <row r="24" spans="1:5" x14ac:dyDescent="0.25">
      <c r="A24">
        <v>16.2</v>
      </c>
      <c r="B24">
        <f t="shared" si="0"/>
        <v>1.584893192461116E+16</v>
      </c>
      <c r="C24">
        <f t="shared" si="1"/>
        <v>0.7366430229506552</v>
      </c>
      <c r="D24">
        <f t="shared" si="2"/>
        <v>0.60739900249620904</v>
      </c>
      <c r="E24">
        <f t="shared" si="3"/>
        <v>0.44743623733602</v>
      </c>
    </row>
    <row r="25" spans="1:5" x14ac:dyDescent="0.25">
      <c r="A25">
        <v>16.3</v>
      </c>
      <c r="B25">
        <f t="shared" si="0"/>
        <v>1.9952623149688948E+16</v>
      </c>
      <c r="C25">
        <f t="shared" si="1"/>
        <v>0.74852436203050476</v>
      </c>
      <c r="D25">
        <f t="shared" si="2"/>
        <v>0.60523647526721369</v>
      </c>
      <c r="E25">
        <f t="shared" si="3"/>
        <v>0.45303424652698249</v>
      </c>
    </row>
    <row r="26" spans="1:5" x14ac:dyDescent="0.25">
      <c r="A26">
        <v>16.399999999999999</v>
      </c>
      <c r="B26">
        <f t="shared" si="0"/>
        <v>2.5118864315095792E+16</v>
      </c>
      <c r="C26">
        <f t="shared" si="1"/>
        <v>0.76040570111035366</v>
      </c>
      <c r="D26">
        <f t="shared" si="2"/>
        <v>0.60304390622137993</v>
      </c>
      <c r="E26">
        <f t="shared" si="3"/>
        <v>0.45855802431059478</v>
      </c>
    </row>
    <row r="27" spans="1:5" x14ac:dyDescent="0.25">
      <c r="A27">
        <v>16.5</v>
      </c>
      <c r="B27">
        <f t="shared" si="0"/>
        <v>3.1622776601683976E+16</v>
      </c>
      <c r="C27">
        <f t="shared" si="1"/>
        <v>0.77228704019020322</v>
      </c>
      <c r="D27">
        <f t="shared" si="2"/>
        <v>0.60081978184971663</v>
      </c>
      <c r="E27">
        <f t="shared" si="3"/>
        <v>0.46400533101244124</v>
      </c>
    </row>
    <row r="28" spans="1:5" x14ac:dyDescent="0.25">
      <c r="A28">
        <v>16.600000000000001</v>
      </c>
      <c r="B28">
        <f t="shared" si="0"/>
        <v>3.981071705534992E+16</v>
      </c>
      <c r="C28">
        <f t="shared" si="1"/>
        <v>0.78416837927005245</v>
      </c>
      <c r="D28">
        <f t="shared" si="2"/>
        <v>0.59856245302307132</v>
      </c>
      <c r="E28">
        <f t="shared" si="3"/>
        <v>0.46937374867900872</v>
      </c>
    </row>
    <row r="29" spans="1:5" x14ac:dyDescent="0.25">
      <c r="A29">
        <v>16.7</v>
      </c>
      <c r="B29">
        <f t="shared" si="0"/>
        <v>5.0118723362727424E+16</v>
      </c>
      <c r="C29">
        <f t="shared" si="1"/>
        <v>0.79604971834990168</v>
      </c>
      <c r="D29">
        <f t="shared" si="2"/>
        <v>0.59627011710488143</v>
      </c>
      <c r="E29">
        <f t="shared" si="3"/>
        <v>0.47466065878180375</v>
      </c>
    </row>
    <row r="30" spans="1:5" x14ac:dyDescent="0.25">
      <c r="A30">
        <v>16.8</v>
      </c>
      <c r="B30">
        <f t="shared" si="0"/>
        <v>6.3095734448019512E+16</v>
      </c>
      <c r="C30">
        <f t="shared" si="1"/>
        <v>0.80793105742975091</v>
      </c>
      <c r="D30">
        <f t="shared" si="2"/>
        <v>0.59394079688695545</v>
      </c>
      <c r="E30">
        <f t="shared" si="3"/>
        <v>0.47986321607954679</v>
      </c>
    </row>
    <row r="31" spans="1:5" x14ac:dyDescent="0.25">
      <c r="A31">
        <v>16.899999999999999</v>
      </c>
      <c r="B31">
        <f t="shared" si="0"/>
        <v>7.9432823472428304E+16</v>
      </c>
      <c r="C31">
        <f t="shared" si="1"/>
        <v>0.81981239650960014</v>
      </c>
      <c r="D31">
        <f t="shared" si="2"/>
        <v>0.59157231562647583</v>
      </c>
      <c r="E31">
        <f t="shared" si="3"/>
        <v>0.48497831778247474</v>
      </c>
    </row>
    <row r="32" spans="1:5" x14ac:dyDescent="0.25">
      <c r="A32">
        <v>17</v>
      </c>
      <c r="B32">
        <f t="shared" si="0"/>
        <v>1E+17</v>
      </c>
      <c r="C32">
        <f t="shared" si="1"/>
        <v>0.83169373558944937</v>
      </c>
      <c r="D32">
        <f t="shared" si="2"/>
        <v>0.58916226725946363</v>
      </c>
      <c r="E32">
        <f t="shared" si="3"/>
        <v>0.49000256692537286</v>
      </c>
    </row>
    <row r="33" spans="1:5" x14ac:dyDescent="0.25">
      <c r="A33">
        <v>17.100000000000001</v>
      </c>
      <c r="B33">
        <f t="shared" si="0"/>
        <v>1.2589254117941763E+17</v>
      </c>
      <c r="C33">
        <f t="shared" si="1"/>
        <v>0.84357507466929893</v>
      </c>
      <c r="D33">
        <f t="shared" si="2"/>
        <v>0.58670798059396456</v>
      </c>
      <c r="E33">
        <f t="shared" si="3"/>
        <v>0.49493222853862723</v>
      </c>
    </row>
    <row r="34" spans="1:5" x14ac:dyDescent="0.25">
      <c r="A34">
        <v>17.2</v>
      </c>
      <c r="B34">
        <f t="shared" si="0"/>
        <v>1.584893192461112E+17</v>
      </c>
      <c r="C34">
        <f t="shared" si="1"/>
        <v>0.85545641374914783</v>
      </c>
      <c r="D34">
        <f t="shared" si="2"/>
        <v>0.58420647591724428</v>
      </c>
      <c r="E34">
        <f t="shared" si="3"/>
        <v>0.49976317677719367</v>
      </c>
    </row>
    <row r="35" spans="1:5" x14ac:dyDescent="0.25">
      <c r="A35">
        <v>17.3</v>
      </c>
      <c r="B35">
        <f t="shared" si="0"/>
        <v>1.9952623149688902E+17</v>
      </c>
      <c r="C35">
        <f t="shared" si="1"/>
        <v>0.86733775282899739</v>
      </c>
      <c r="D35">
        <f t="shared" si="2"/>
        <v>0.58165441194409517</v>
      </c>
      <c r="E35">
        <f t="shared" si="3"/>
        <v>0.5044908305786634</v>
      </c>
    </row>
    <row r="36" spans="1:5" x14ac:dyDescent="0.25">
      <c r="A36">
        <v>17.399999999999999</v>
      </c>
      <c r="B36">
        <f t="shared" si="0"/>
        <v>2.5118864315095731E+17</v>
      </c>
      <c r="C36">
        <f t="shared" si="1"/>
        <v>0.87921909190884628</v>
      </c>
      <c r="D36">
        <f t="shared" si="2"/>
        <v>0.57904802032597713</v>
      </c>
      <c r="E36">
        <f t="shared" si="3"/>
        <v>0.50911007460262081</v>
      </c>
    </row>
    <row r="37" spans="1:5" x14ac:dyDescent="0.25">
      <c r="A37">
        <v>17.5</v>
      </c>
      <c r="B37">
        <f t="shared" si="0"/>
        <v>3.1622776601683898E+17</v>
      </c>
      <c r="C37">
        <f t="shared" si="1"/>
        <v>0.89110043098869585</v>
      </c>
      <c r="D37">
        <f t="shared" si="2"/>
        <v>0.57638302393839891</v>
      </c>
      <c r="E37">
        <f t="shared" si="3"/>
        <v>0.51361516104607507</v>
      </c>
    </row>
    <row r="38" spans="1:5" x14ac:dyDescent="0.25">
      <c r="A38">
        <v>17.600000000000001</v>
      </c>
      <c r="B38">
        <f t="shared" si="0"/>
        <v>3.9810717055350106E+17</v>
      </c>
      <c r="C38">
        <f t="shared" si="1"/>
        <v>0.90298177006854541</v>
      </c>
      <c r="D38">
        <f t="shared" si="2"/>
        <v>0.57365453371866626</v>
      </c>
      <c r="E38">
        <f t="shared" si="3"/>
        <v>0.51799958626512732</v>
      </c>
    </row>
    <row r="39" spans="1:5" x14ac:dyDescent="0.25">
      <c r="A39">
        <v>17.7</v>
      </c>
      <c r="B39">
        <f t="shared" si="0"/>
        <v>5.0118723362727302E+17</v>
      </c>
      <c r="C39">
        <f t="shared" si="1"/>
        <v>0.9148631091483943</v>
      </c>
      <c r="D39">
        <f t="shared" si="2"/>
        <v>0.57085691670143279</v>
      </c>
      <c r="E39">
        <f t="shared" si="3"/>
        <v>0.52225593369233869</v>
      </c>
    </row>
    <row r="40" spans="1:5" x14ac:dyDescent="0.25">
      <c r="A40">
        <v>17.8</v>
      </c>
      <c r="B40">
        <f t="shared" si="0"/>
        <v>6.3095734448019802E+17</v>
      </c>
      <c r="C40">
        <f t="shared" si="1"/>
        <v>0.92674444822824387</v>
      </c>
      <c r="D40">
        <f t="shared" si="2"/>
        <v>0.56798362470802544</v>
      </c>
      <c r="E40">
        <f t="shared" si="3"/>
        <v>0.52637567088271697</v>
      </c>
    </row>
    <row r="41" spans="1:5" x14ac:dyDescent="0.25">
      <c r="A41">
        <v>17.899999999999999</v>
      </c>
      <c r="B41">
        <f t="shared" si="0"/>
        <v>7.9432823472428109E+17</v>
      </c>
      <c r="C41">
        <f t="shared" si="1"/>
        <v>0.93862578730809276</v>
      </c>
      <c r="D41">
        <f t="shared" si="2"/>
        <v>0.56502696823456222</v>
      </c>
      <c r="E41">
        <f t="shared" si="3"/>
        <v>0.53034888290947069</v>
      </c>
    </row>
    <row r="42" spans="1:5" x14ac:dyDescent="0.25">
      <c r="A42">
        <v>18</v>
      </c>
      <c r="B42">
        <f t="shared" si="0"/>
        <v>1E+18</v>
      </c>
      <c r="C42">
        <f t="shared" si="1"/>
        <v>0.9505071263879421</v>
      </c>
      <c r="D42">
        <f t="shared" si="2"/>
        <v>0.56197781231832378</v>
      </c>
      <c r="E42">
        <f t="shared" si="3"/>
        <v>0.53416391548047215</v>
      </c>
    </row>
    <row r="43" spans="1:5" x14ac:dyDescent="0.25">
      <c r="A43">
        <v>18.100000000000001</v>
      </c>
      <c r="B43">
        <f t="shared" si="0"/>
        <v>1.2589254117941732E+18</v>
      </c>
      <c r="C43">
        <f t="shared" si="1"/>
        <v>0.96238846546779155</v>
      </c>
      <c r="D43">
        <f t="shared" si="2"/>
        <v>0.55882515849565462</v>
      </c>
      <c r="E43">
        <f t="shared" si="3"/>
        <v>0.53780688674942845</v>
      </c>
    </row>
    <row r="44" spans="1:5" x14ac:dyDescent="0.25">
      <c r="A44">
        <v>18.2</v>
      </c>
      <c r="B44">
        <f t="shared" si="0"/>
        <v>1.5848931924611195E+18</v>
      </c>
      <c r="C44">
        <f t="shared" si="1"/>
        <v>0.97426980454764078</v>
      </c>
      <c r="D44">
        <f t="shared" si="2"/>
        <v>0.55555555555555558</v>
      </c>
      <c r="E44">
        <f t="shared" si="3"/>
        <v>0.54126100252646714</v>
      </c>
    </row>
    <row r="45" spans="1:5" x14ac:dyDescent="0.25">
      <c r="A45">
        <v>18.3</v>
      </c>
      <c r="B45">
        <f t="shared" si="0"/>
        <v>1.9952623149688852E+18</v>
      </c>
      <c r="C45">
        <f t="shared" si="1"/>
        <v>0.98615114362749001</v>
      </c>
      <c r="D45">
        <f t="shared" si="2"/>
        <v>0.55215224407553154</v>
      </c>
      <c r="E45">
        <f t="shared" si="3"/>
        <v>0.54450556695157037</v>
      </c>
    </row>
    <row r="46" spans="1:5" x14ac:dyDescent="0.25">
      <c r="A46">
        <v>18.399999999999999</v>
      </c>
      <c r="B46">
        <f t="shared" si="0"/>
        <v>2.5118864315095849E+18</v>
      </c>
      <c r="C46">
        <f t="shared" si="1"/>
        <v>0.99803248270733924</v>
      </c>
      <c r="D46">
        <f t="shared" si="2"/>
        <v>0.54859386995303461</v>
      </c>
      <c r="E46">
        <f t="shared" si="3"/>
        <v>0.54751450202725438</v>
      </c>
    </row>
    <row r="47" spans="1:5" x14ac:dyDescent="0.25">
      <c r="A47">
        <v>18.5</v>
      </c>
      <c r="B47">
        <f t="shared" si="0"/>
        <v>3.162277660168382E+18</v>
      </c>
      <c r="C47">
        <f t="shared" si="1"/>
        <v>1.0099138217871884</v>
      </c>
      <c r="D47">
        <f t="shared" si="2"/>
        <v>0.54485246530262765</v>
      </c>
      <c r="E47">
        <f t="shared" si="3"/>
        <v>0.55025403554394814</v>
      </c>
    </row>
    <row r="48" spans="1:5" x14ac:dyDescent="0.25">
      <c r="A48">
        <v>18.600000000000001</v>
      </c>
      <c r="B48">
        <f t="shared" si="0"/>
        <v>3.9810717055350006E+18</v>
      </c>
      <c r="C48">
        <f t="shared" si="1"/>
        <v>1.0217951608670381</v>
      </c>
      <c r="D48">
        <f t="shared" si="2"/>
        <v>0.54089010682321292</v>
      </c>
      <c r="E48">
        <f t="shared" si="3"/>
        <v>0.55267889371281431</v>
      </c>
    </row>
    <row r="49" spans="1:5" x14ac:dyDescent="0.25">
      <c r="A49">
        <v>18.7</v>
      </c>
      <c r="B49">
        <f t="shared" si="0"/>
        <v>5.0118723362727178E+18</v>
      </c>
      <c r="C49">
        <f t="shared" si="1"/>
        <v>1.0336764999468868</v>
      </c>
      <c r="D49">
        <f t="shared" si="2"/>
        <v>0.53665299752146933</v>
      </c>
      <c r="E49">
        <f t="shared" si="3"/>
        <v>0.55472559216399775</v>
      </c>
    </row>
    <row r="50" spans="1:5" x14ac:dyDescent="0.25">
      <c r="A50">
        <v>18.8</v>
      </c>
      <c r="B50">
        <f t="shared" si="0"/>
        <v>6.3095734448019651E+18</v>
      </c>
      <c r="C50">
        <f t="shared" si="1"/>
        <v>1.0455578390267366</v>
      </c>
      <c r="D50">
        <f t="shared" si="2"/>
        <v>0.53205999790904912</v>
      </c>
      <c r="E50">
        <f t="shared" si="3"/>
        <v>0.55629950164635544</v>
      </c>
    </row>
    <row r="51" spans="1:5" x14ac:dyDescent="0.25">
      <c r="A51">
        <v>18.899999999999999</v>
      </c>
      <c r="B51">
        <f t="shared" si="0"/>
        <v>7.9432823472428483E+18</v>
      </c>
      <c r="C51">
        <f t="shared" si="1"/>
        <v>1.0574391781065857</v>
      </c>
      <c r="D51">
        <f t="shared" si="2"/>
        <v>0.52697740971278917</v>
      </c>
      <c r="E51">
        <f t="shared" si="3"/>
        <v>0.55724655900742925</v>
      </c>
    </row>
    <row r="52" spans="1:5" x14ac:dyDescent="0.25">
      <c r="A52">
        <v>19</v>
      </c>
      <c r="B52">
        <f t="shared" si="0"/>
        <v>1E+19</v>
      </c>
      <c r="C52">
        <f t="shared" si="1"/>
        <v>1.0693205171864348</v>
      </c>
      <c r="D52">
        <f t="shared" si="2"/>
        <v>0.52115171043017638</v>
      </c>
      <c r="E52">
        <f t="shared" si="3"/>
        <v>0.55727821652979137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</vt:lpstr>
      <vt:lpstr>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AMIT, IDDO</dc:creator>
  <cp:lastModifiedBy>cmrv41</cp:lastModifiedBy>
  <dcterms:created xsi:type="dcterms:W3CDTF">2015-06-05T18:17:20Z</dcterms:created>
  <dcterms:modified xsi:type="dcterms:W3CDTF">2023-09-08T16:20:37Z</dcterms:modified>
</cp:coreProperties>
</file>